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varya.malinina.2003mail.ru/event_app_new/docs/"/>
    </mc:Choice>
  </mc:AlternateContent>
  <xr:revisionPtr revIDLastSave="0" documentId="13_ncr:1_{16797771-28A4-044E-B7B5-F79FF9FF204A}" xr6:coauthVersionLast="47" xr6:coauthVersionMax="47" xr10:uidLastSave="{00000000-0000-0000-0000-000000000000}"/>
  <bookViews>
    <workbookView xWindow="0" yWindow="500" windowWidth="28800" windowHeight="16260" activeTab="6" xr2:uid="{00000000-000D-0000-FFFF-FFFF00000000}"/>
  </bookViews>
  <sheets>
    <sheet name="Допущения" sheetId="1" r:id="rId1"/>
    <sheet name="Выручка" sheetId="2" r:id="rId2"/>
    <sheet name="Расходы" sheetId="3" r:id="rId3"/>
    <sheet name="P&amp;L" sheetId="4" r:id="rId4"/>
    <sheet name="Unit-экономика" sheetId="5" r:id="rId5"/>
    <sheet name="Этапы" sheetId="6" r:id="rId6"/>
    <sheet name="Цели 5-7 млрд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4" l="1"/>
  <c r="C7" i="4"/>
  <c r="B7" i="4"/>
  <c r="B12" i="7"/>
  <c r="B11" i="7"/>
  <c r="B4" i="7"/>
  <c r="B3" i="7"/>
  <c r="D4" i="5"/>
  <c r="C4" i="5"/>
  <c r="B4" i="5"/>
  <c r="D3" i="5"/>
  <c r="C3" i="5"/>
  <c r="B3" i="5"/>
  <c r="D2" i="5"/>
  <c r="D6" i="4"/>
  <c r="B8" i="7" s="1"/>
  <c r="C6" i="4"/>
  <c r="C2" i="5" s="1"/>
  <c r="B6" i="4"/>
  <c r="B2" i="5" s="1"/>
  <c r="D12" i="3"/>
  <c r="C12" i="3"/>
  <c r="D11" i="3"/>
  <c r="C11" i="3"/>
  <c r="D10" i="3"/>
  <c r="C10" i="3"/>
  <c r="D9" i="3"/>
  <c r="C9" i="3"/>
  <c r="B6" i="3"/>
  <c r="B5" i="3"/>
  <c r="B4" i="3"/>
  <c r="B3" i="3"/>
  <c r="B2" i="3"/>
  <c r="D8" i="2"/>
  <c r="D7" i="5" s="1"/>
  <c r="C8" i="2"/>
  <c r="C7" i="5" s="1"/>
  <c r="B8" i="2"/>
  <c r="B7" i="5" s="1"/>
  <c r="D5" i="2"/>
  <c r="C5" i="2"/>
  <c r="B5" i="2"/>
  <c r="D4" i="2"/>
  <c r="C4" i="2"/>
  <c r="B4" i="2"/>
  <c r="D3" i="2"/>
  <c r="D6" i="2" s="1"/>
  <c r="D2" i="4" s="1"/>
  <c r="C3" i="2"/>
  <c r="C8" i="5" s="1"/>
  <c r="B3" i="2"/>
  <c r="B8" i="5" s="1"/>
  <c r="D2" i="2"/>
  <c r="C2" i="2"/>
  <c r="B2" i="2"/>
  <c r="B6" i="2" s="1"/>
  <c r="B2" i="4" s="1"/>
  <c r="B40" i="1"/>
  <c r="C13" i="3" s="1"/>
  <c r="C3" i="4" s="1"/>
  <c r="B35" i="1"/>
  <c r="B13" i="3" s="1"/>
  <c r="B3" i="4" s="1"/>
  <c r="B19" i="1"/>
  <c r="B17" i="1"/>
  <c r="B11" i="1"/>
  <c r="B4" i="4" l="1"/>
  <c r="D5" i="5"/>
  <c r="B5" i="5"/>
  <c r="D8" i="5"/>
  <c r="C5" i="5"/>
  <c r="C6" i="2"/>
  <c r="C2" i="4" s="1"/>
  <c r="B6" i="7"/>
  <c r="B7" i="3"/>
  <c r="B7" i="7"/>
  <c r="C4" i="4" l="1"/>
  <c r="D4" i="4"/>
  <c r="D3" i="4"/>
  <c r="D13" i="3"/>
  <c r="B45" i="1"/>
</calcChain>
</file>

<file path=xl/sharedStrings.xml><?xml version="1.0" encoding="utf-8"?>
<sst xmlns="http://schemas.openxmlformats.org/spreadsheetml/2006/main" count="261" uniqueCount="160">
  <si>
    <t>Key (не менять)</t>
  </si>
  <si>
    <t>Value</t>
  </si>
  <si>
    <t>Unit</t>
  </si>
  <si>
    <t>Notes</t>
  </si>
  <si>
    <t>USD_RUB</t>
  </si>
  <si>
    <t>₽ за $</t>
  </si>
  <si>
    <t>Курс для перевода $ → ₽</t>
  </si>
  <si>
    <t>MAU_Y1_END</t>
  </si>
  <si>
    <t>users</t>
  </si>
  <si>
    <t>Целевой MAU на конец года 1 (Q4)</t>
  </si>
  <si>
    <t>MAU_Y2_END</t>
  </si>
  <si>
    <t>Целевой MAU на конец года 2</t>
  </si>
  <si>
    <t>MAU_Y3_END</t>
  </si>
  <si>
    <t>Целевой MAU на конец года 3</t>
  </si>
  <si>
    <t/>
  </si>
  <si>
    <t>--- User boosts ---</t>
  </si>
  <si>
    <t>Freemium: поднятие события в ленте</t>
  </si>
  <si>
    <t>BOOST_PRICE_USD</t>
  </si>
  <si>
    <t>$</t>
  </si>
  <si>
    <t>Цена 1 буста</t>
  </si>
  <si>
    <t>BOOST_BUY_RATE</t>
  </si>
  <si>
    <t>share</t>
  </si>
  <si>
    <t>Доля MAU, покупающих бусты (5%)</t>
  </si>
  <si>
    <t>BOOST_PURCHASES_PER_PAYER_PER_YEAR</t>
  </si>
  <si>
    <t>count</t>
  </si>
  <si>
    <t>Покупок на платящего в год</t>
  </si>
  <si>
    <t>BOOST_PRICE_RUB</t>
  </si>
  <si>
    <t>₽</t>
  </si>
  <si>
    <t>Авто: цена буста в ₽</t>
  </si>
  <si>
    <t>--- B2B / Paid events ---</t>
  </si>
  <si>
    <t>Бизнес-аккаунты + комиссия с билетов</t>
  </si>
  <si>
    <t>B2B_SHARE_OF_MAU</t>
  </si>
  <si>
    <t>Доля бизнес-аккаунтов от MAU (0.2%)</t>
  </si>
  <si>
    <t>COMMISSION_RATE</t>
  </si>
  <si>
    <t>Комиссия с транзакций (5%)</t>
  </si>
  <si>
    <t>B2B_TURNOVER_USD_AVG</t>
  </si>
  <si>
    <t>$/year</t>
  </si>
  <si>
    <t>Средний оборот B2B аккаунта (1k–10k)</t>
  </si>
  <si>
    <t>B2B_TURNOVER_RUB_AVG</t>
  </si>
  <si>
    <t>₽/year</t>
  </si>
  <si>
    <t>Авто: оборот в ₽</t>
  </si>
  <si>
    <t>B2B_SUB_USD_PER_YEAR</t>
  </si>
  <si>
    <t>Подписка бизнес-аккаунта</t>
  </si>
  <si>
    <t>B2B_SUB_RUB_PER_YEAR</t>
  </si>
  <si>
    <t>Авто: подписка в ₽</t>
  </si>
  <si>
    <t>--- Native ads ---</t>
  </si>
  <si>
    <t>Нативная реклама в ленте</t>
  </si>
  <si>
    <t>ADS_CPM_USD_AVG</t>
  </si>
  <si>
    <t>CPM (средний, диапазон 15–25)</t>
  </si>
  <si>
    <t>ADS_IMPRESSIONS_PER_MAU_PER_MONTH</t>
  </si>
  <si>
    <t>impr</t>
  </si>
  <si>
    <t>Показов рекламы на MAU в месяц</t>
  </si>
  <si>
    <t>--- Unit economics ---</t>
  </si>
  <si>
    <t>Из презентации (можно править)</t>
  </si>
  <si>
    <t>CAC_RUB</t>
  </si>
  <si>
    <t>Customer Acquisition Cost</t>
  </si>
  <si>
    <t>LTV_RUB</t>
  </si>
  <si>
    <t>Средний LTV</t>
  </si>
  <si>
    <t>--- Costs (inputs) ---</t>
  </si>
  <si>
    <t>Разложение OPEX по годам (все правится здесь)</t>
  </si>
  <si>
    <t>GRANT_DEV_PAY_RUB</t>
  </si>
  <si>
    <t>Оплата труда разработчиков (грант)</t>
  </si>
  <si>
    <t>GRANT_UIUX_RUB</t>
  </si>
  <si>
    <t>Услуги дизайнера (грант)</t>
  </si>
  <si>
    <t>GRANT_INFRA_RUB</t>
  </si>
  <si>
    <t>Облачная инфраструктура и хостинг (грант)</t>
  </si>
  <si>
    <t>GRANT_IP_RUB</t>
  </si>
  <si>
    <t>Регистрация товарного знака и ПО</t>
  </si>
  <si>
    <t>GRANT_SOFTWARE_RUB</t>
  </si>
  <si>
    <t>ПО и лицензии</t>
  </si>
  <si>
    <t>GRANT_TOTAL_RUB</t>
  </si>
  <si>
    <t>Авто: итого грант</t>
  </si>
  <si>
    <t>Y2_INFRA_RUB</t>
  </si>
  <si>
    <t>Инфраструктура и хостинг (год 2)</t>
  </si>
  <si>
    <t>Y2_MARKETING_RUB</t>
  </si>
  <si>
    <t>Маркетинг и привлечение (год 2)</t>
  </si>
  <si>
    <t>Y2_TEAM_RUB</t>
  </si>
  <si>
    <t>Команда / расширение (год 2)</t>
  </si>
  <si>
    <t>Y2_OTHER_RUB</t>
  </si>
  <si>
    <t>Прочее (год 2)</t>
  </si>
  <si>
    <t>Y2_OPEX_TOTAL_RUB</t>
  </si>
  <si>
    <t>Авто: итого OPEX год 2</t>
  </si>
  <si>
    <t>Y3_INFRA_RUB</t>
  </si>
  <si>
    <t>Инфраструктура и хостинг (год 3)</t>
  </si>
  <si>
    <t>Y3_MARKETING_RUB</t>
  </si>
  <si>
    <t>Маркетинг и привлечение (год 3)</t>
  </si>
  <si>
    <t>Y3_TEAM_RUB</t>
  </si>
  <si>
    <t>Команда / расширение (год 3)</t>
  </si>
  <si>
    <t>Y3_OTHER_RUB</t>
  </si>
  <si>
    <t>Прочее (год 3)</t>
  </si>
  <si>
    <t>Y3_OPEX_TOTAL_RUB</t>
  </si>
  <si>
    <t>Авто: итого OPEX год 3</t>
  </si>
  <si>
    <t>--- Investor targets ---</t>
  </si>
  <si>
    <t>Цели из описания (год 2–3)</t>
  </si>
  <si>
    <t>TARGET_REV_MIN_RUB</t>
  </si>
  <si>
    <t>Нижняя цель по выручке</t>
  </si>
  <si>
    <t>TARGET_REV_MAX_RUB</t>
  </si>
  <si>
    <t>Верхняя цель по выручке</t>
  </si>
  <si>
    <t>Статья выручки</t>
  </si>
  <si>
    <t>Год 1, ₽</t>
  </si>
  <si>
    <t>Год 2, ₽</t>
  </si>
  <si>
    <t>Год 3, ₽</t>
  </si>
  <si>
    <t>Бусты (пользователи)</t>
  </si>
  <si>
    <t>Комиссия с платных событий (B2B, 5%)</t>
  </si>
  <si>
    <t>Подписки бизнес-аккаунтов (B2B)</t>
  </si>
  <si>
    <t>Нативная реклама</t>
  </si>
  <si>
    <t>Итого выручка, ₽</t>
  </si>
  <si>
    <t>B2B аккаунты (кол-во)</t>
  </si>
  <si>
    <t>Статья</t>
  </si>
  <si>
    <t>Оплата труда разработчиков</t>
  </si>
  <si>
    <t>Дизайн (UI/UX)</t>
  </si>
  <si>
    <t>Инфраструктура и хостинг (грант)</t>
  </si>
  <si>
    <t>Итого грант (год 1)</t>
  </si>
  <si>
    <t>Инфраструктура и хостинг</t>
  </si>
  <si>
    <t>Маркетинг и привлечение</t>
  </si>
  <si>
    <t>Команда (расширение)</t>
  </si>
  <si>
    <t>Прочее</t>
  </si>
  <si>
    <t>Итого OPEX</t>
  </si>
  <si>
    <t>Год 1</t>
  </si>
  <si>
    <t>Год 2</t>
  </si>
  <si>
    <t>Год 3</t>
  </si>
  <si>
    <t>Выручка, ₽</t>
  </si>
  <si>
    <t>Расходы, ₽</t>
  </si>
  <si>
    <t>EBITDA, ₽</t>
  </si>
  <si>
    <t>MAU (конец периода)</t>
  </si>
  <si>
    <t>Выручка на MAU, ₽/год</t>
  </si>
  <si>
    <t>Метрика</t>
  </si>
  <si>
    <t>Комментарий</t>
  </si>
  <si>
    <t>ARPU, ₽/MAU/год</t>
  </si>
  <si>
    <t>Выручка / MAU</t>
  </si>
  <si>
    <t>CAC, ₽</t>
  </si>
  <si>
    <t>Из допущений</t>
  </si>
  <si>
    <t>LTV, ₽</t>
  </si>
  <si>
    <t>LTV/CAC</t>
  </si>
  <si>
    <t>Цель &gt; 3</t>
  </si>
  <si>
    <t>Бизнес-аккаунтов (кол-во)</t>
  </si>
  <si>
    <t>ROUND(MAU * доля B2B)</t>
  </si>
  <si>
    <t>Выручка с B2B (подписка+комиссия), ₽</t>
  </si>
  <si>
    <t>Этап</t>
  </si>
  <si>
    <t>Период</t>
  </si>
  <si>
    <t>Ключевые цели</t>
  </si>
  <si>
    <t>Этап 1: MVP</t>
  </si>
  <si>
    <t>Ближайшие 8 мес</t>
  </si>
  <si>
    <t>Алгоритмическая лента, управление событиями, чаты, карты</t>
  </si>
  <si>
    <t>Этап 2: Релиз и тесты</t>
  </si>
  <si>
    <t>Вывод на рынок, тесты ML, базовая монетизация, подтверждение Unit-экономики</t>
  </si>
  <si>
    <t>Этап 3: Масштабирование</t>
  </si>
  <si>
    <t>Год 2–3</t>
  </si>
  <si>
    <t>B2B-партнёры, новые города РФ, 500k MAU, выручка 5–7 млрд ₽</t>
  </si>
  <si>
    <t>Ретроспектива (сделано)</t>
  </si>
  <si>
    <t>Рабочий прототип iOS и Web, концепт и UX, аналитика рынка</t>
  </si>
  <si>
    <t>Цель инвестора: выручка 5–7 млрд ₽ (год 2–3)</t>
  </si>
  <si>
    <t>Целевая выручка, мин, ₽</t>
  </si>
  <si>
    <t>Целевая выручка, макс, ₽</t>
  </si>
  <si>
    <t>При текущем ARPU (год 3), ₽/MAU/год</t>
  </si>
  <si>
    <t>Требуемый MAU для 5 млрд</t>
  </si>
  <si>
    <t>Требуемый MAU для 7 млрд</t>
  </si>
  <si>
    <t>Либо: рост ARPU при 500k MAU</t>
  </si>
  <si>
    <t>ARPU для 5 млрд при MAU_Y3_END, ₽</t>
  </si>
  <si>
    <t>ARPU для 7 млрд при MAU_Y3_END,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</si>
</sst>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baseColWidth="10" defaultRowHeight="16" x14ac:dyDescent="0.2"/>
  <cols>
    <col min="1" max="1" width="36.83203125" customWidth="1"/>
    <col min="2" max="3" width="14.83203125" customWidth="1"/>
    <col min="4" max="4" width="47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100</v>
      </c>
      <c r="C2" t="s">
        <v>5</v>
      </c>
      <c r="D2" t="s">
        <v>6</v>
      </c>
    </row>
    <row r="3" spans="1:4" x14ac:dyDescent="0.2">
      <c r="A3" t="s">
        <v>7</v>
      </c>
      <c r="B3">
        <v>100000</v>
      </c>
      <c r="C3" t="s">
        <v>8</v>
      </c>
      <c r="D3" t="s">
        <v>9</v>
      </c>
    </row>
    <row r="4" spans="1:4" x14ac:dyDescent="0.2">
      <c r="A4" t="s">
        <v>10</v>
      </c>
      <c r="B4">
        <v>350000</v>
      </c>
      <c r="C4" t="s">
        <v>8</v>
      </c>
      <c r="D4" t="s">
        <v>11</v>
      </c>
    </row>
    <row r="5" spans="1:4" x14ac:dyDescent="0.2">
      <c r="A5" t="s">
        <v>12</v>
      </c>
      <c r="B5">
        <v>500000</v>
      </c>
      <c r="C5" t="s">
        <v>8</v>
      </c>
      <c r="D5" t="s">
        <v>13</v>
      </c>
    </row>
    <row r="6" spans="1:4" x14ac:dyDescent="0.2">
      <c r="A6" t="s">
        <v>14</v>
      </c>
      <c r="B6" t="s">
        <v>14</v>
      </c>
      <c r="C6" t="s">
        <v>14</v>
      </c>
      <c r="D6" t="s">
        <v>14</v>
      </c>
    </row>
    <row r="7" spans="1:4" x14ac:dyDescent="0.2">
      <c r="A7" t="s">
        <v>15</v>
      </c>
      <c r="B7" t="s">
        <v>14</v>
      </c>
      <c r="C7" t="s">
        <v>14</v>
      </c>
      <c r="D7" t="s">
        <v>16</v>
      </c>
    </row>
    <row r="8" spans="1:4" x14ac:dyDescent="0.2">
      <c r="A8" t="s">
        <v>17</v>
      </c>
      <c r="B8">
        <v>1</v>
      </c>
      <c r="C8" t="s">
        <v>18</v>
      </c>
      <c r="D8" t="s">
        <v>19</v>
      </c>
    </row>
    <row r="9" spans="1:4" x14ac:dyDescent="0.2">
      <c r="A9" t="s">
        <v>20</v>
      </c>
      <c r="B9">
        <v>0.05</v>
      </c>
      <c r="C9" t="s">
        <v>21</v>
      </c>
      <c r="D9" t="s">
        <v>22</v>
      </c>
    </row>
    <row r="10" spans="1:4" x14ac:dyDescent="0.2">
      <c r="A10" t="s">
        <v>23</v>
      </c>
      <c r="B10">
        <v>2</v>
      </c>
      <c r="C10" t="s">
        <v>24</v>
      </c>
      <c r="D10" t="s">
        <v>25</v>
      </c>
    </row>
    <row r="11" spans="1:4" x14ac:dyDescent="0.2">
      <c r="A11" t="s">
        <v>26</v>
      </c>
      <c r="B11">
        <f>B8*$B$2</f>
        <v>100</v>
      </c>
      <c r="C11" t="s">
        <v>27</v>
      </c>
      <c r="D11" t="s">
        <v>28</v>
      </c>
    </row>
    <row r="12" spans="1:4" x14ac:dyDescent="0.2">
      <c r="A12" t="s">
        <v>14</v>
      </c>
      <c r="B12" t="s">
        <v>14</v>
      </c>
      <c r="C12" t="s">
        <v>14</v>
      </c>
      <c r="D12" t="s">
        <v>14</v>
      </c>
    </row>
    <row r="13" spans="1:4" x14ac:dyDescent="0.2">
      <c r="A13" t="s">
        <v>29</v>
      </c>
      <c r="B13" t="s">
        <v>14</v>
      </c>
      <c r="C13" t="s">
        <v>14</v>
      </c>
      <c r="D13" t="s">
        <v>30</v>
      </c>
    </row>
    <row r="14" spans="1:4" x14ac:dyDescent="0.2">
      <c r="A14" t="s">
        <v>31</v>
      </c>
      <c r="B14">
        <v>2E-3</v>
      </c>
      <c r="C14" t="s">
        <v>21</v>
      </c>
      <c r="D14" t="s">
        <v>32</v>
      </c>
    </row>
    <row r="15" spans="1:4" x14ac:dyDescent="0.2">
      <c r="A15" t="s">
        <v>33</v>
      </c>
      <c r="B15">
        <v>0.05</v>
      </c>
      <c r="C15" t="s">
        <v>21</v>
      </c>
      <c r="D15" t="s">
        <v>34</v>
      </c>
    </row>
    <row r="16" spans="1:4" x14ac:dyDescent="0.2">
      <c r="A16" t="s">
        <v>35</v>
      </c>
      <c r="B16">
        <v>5500</v>
      </c>
      <c r="C16" t="s">
        <v>36</v>
      </c>
      <c r="D16" t="s">
        <v>37</v>
      </c>
    </row>
    <row r="17" spans="1:4" x14ac:dyDescent="0.2">
      <c r="A17" t="s">
        <v>38</v>
      </c>
      <c r="B17">
        <f>B16*$B$2</f>
        <v>550000</v>
      </c>
      <c r="C17" t="s">
        <v>39</v>
      </c>
      <c r="D17" t="s">
        <v>40</v>
      </c>
    </row>
    <row r="18" spans="1:4" x14ac:dyDescent="0.2">
      <c r="A18" t="s">
        <v>41</v>
      </c>
      <c r="B18">
        <v>100</v>
      </c>
      <c r="C18" t="s">
        <v>36</v>
      </c>
      <c r="D18" t="s">
        <v>42</v>
      </c>
    </row>
    <row r="19" spans="1:4" x14ac:dyDescent="0.2">
      <c r="A19" t="s">
        <v>43</v>
      </c>
      <c r="B19">
        <f>B18*$B$2</f>
        <v>10000</v>
      </c>
      <c r="C19" t="s">
        <v>39</v>
      </c>
      <c r="D19" t="s">
        <v>44</v>
      </c>
    </row>
    <row r="20" spans="1:4" x14ac:dyDescent="0.2">
      <c r="A20" t="s">
        <v>14</v>
      </c>
      <c r="B20" t="s">
        <v>14</v>
      </c>
      <c r="C20" t="s">
        <v>14</v>
      </c>
      <c r="D20" t="s">
        <v>14</v>
      </c>
    </row>
    <row r="21" spans="1:4" x14ac:dyDescent="0.2">
      <c r="A21" t="s">
        <v>45</v>
      </c>
      <c r="B21" t="s">
        <v>14</v>
      </c>
      <c r="C21" t="s">
        <v>14</v>
      </c>
      <c r="D21" t="s">
        <v>46</v>
      </c>
    </row>
    <row r="22" spans="1:4" x14ac:dyDescent="0.2">
      <c r="A22" t="s">
        <v>47</v>
      </c>
      <c r="B22">
        <v>20</v>
      </c>
      <c r="C22" t="s">
        <v>18</v>
      </c>
      <c r="D22" t="s">
        <v>48</v>
      </c>
    </row>
    <row r="23" spans="1:4" x14ac:dyDescent="0.2">
      <c r="A23" t="s">
        <v>49</v>
      </c>
      <c r="B23">
        <v>20</v>
      </c>
      <c r="C23" t="s">
        <v>50</v>
      </c>
      <c r="D23" t="s">
        <v>51</v>
      </c>
    </row>
    <row r="24" spans="1:4" x14ac:dyDescent="0.2">
      <c r="A24" t="s">
        <v>14</v>
      </c>
      <c r="B24" t="s">
        <v>14</v>
      </c>
      <c r="C24" t="s">
        <v>14</v>
      </c>
      <c r="D24" t="s">
        <v>14</v>
      </c>
    </row>
    <row r="25" spans="1:4" x14ac:dyDescent="0.2">
      <c r="A25" t="s">
        <v>52</v>
      </c>
      <c r="B25" t="s">
        <v>14</v>
      </c>
      <c r="C25" t="s">
        <v>14</v>
      </c>
      <c r="D25" t="s">
        <v>53</v>
      </c>
    </row>
    <row r="26" spans="1:4" x14ac:dyDescent="0.2">
      <c r="A26" t="s">
        <v>54</v>
      </c>
      <c r="B26">
        <v>35</v>
      </c>
      <c r="C26" t="s">
        <v>27</v>
      </c>
      <c r="D26" t="s">
        <v>55</v>
      </c>
    </row>
    <row r="27" spans="1:4" x14ac:dyDescent="0.2">
      <c r="A27" t="s">
        <v>56</v>
      </c>
      <c r="B27">
        <v>179.7</v>
      </c>
      <c r="C27" t="s">
        <v>27</v>
      </c>
      <c r="D27" t="s">
        <v>57</v>
      </c>
    </row>
    <row r="28" spans="1:4" x14ac:dyDescent="0.2">
      <c r="A28" t="s">
        <v>14</v>
      </c>
      <c r="B28" t="s">
        <v>14</v>
      </c>
      <c r="C28" t="s">
        <v>14</v>
      </c>
      <c r="D28" t="s">
        <v>14</v>
      </c>
    </row>
    <row r="29" spans="1:4" x14ac:dyDescent="0.2">
      <c r="A29" t="s">
        <v>58</v>
      </c>
      <c r="B29" t="s">
        <v>14</v>
      </c>
      <c r="C29" t="s">
        <v>14</v>
      </c>
      <c r="D29" t="s">
        <v>59</v>
      </c>
    </row>
    <row r="30" spans="1:4" x14ac:dyDescent="0.2">
      <c r="A30" t="s">
        <v>60</v>
      </c>
      <c r="B30">
        <v>650000</v>
      </c>
      <c r="C30" t="s">
        <v>27</v>
      </c>
      <c r="D30" t="s">
        <v>61</v>
      </c>
    </row>
    <row r="31" spans="1:4" x14ac:dyDescent="0.2">
      <c r="A31" t="s">
        <v>62</v>
      </c>
      <c r="B31">
        <v>150000</v>
      </c>
      <c r="C31" t="s">
        <v>27</v>
      </c>
      <c r="D31" t="s">
        <v>63</v>
      </c>
    </row>
    <row r="32" spans="1:4" x14ac:dyDescent="0.2">
      <c r="A32" t="s">
        <v>64</v>
      </c>
      <c r="B32">
        <v>100000</v>
      </c>
      <c r="C32" t="s">
        <v>27</v>
      </c>
      <c r="D32" t="s">
        <v>65</v>
      </c>
    </row>
    <row r="33" spans="1:4" x14ac:dyDescent="0.2">
      <c r="A33" t="s">
        <v>66</v>
      </c>
      <c r="B33">
        <v>50000</v>
      </c>
      <c r="C33" t="s">
        <v>27</v>
      </c>
      <c r="D33" t="s">
        <v>67</v>
      </c>
    </row>
    <row r="34" spans="1:4" x14ac:dyDescent="0.2">
      <c r="A34" t="s">
        <v>68</v>
      </c>
      <c r="B34">
        <v>50000</v>
      </c>
      <c r="C34" t="s">
        <v>27</v>
      </c>
      <c r="D34" t="s">
        <v>69</v>
      </c>
    </row>
    <row r="35" spans="1:4" x14ac:dyDescent="0.2">
      <c r="A35" t="s">
        <v>70</v>
      </c>
      <c r="B35">
        <f>SUM(B30:B34)</f>
        <v>1000000</v>
      </c>
      <c r="C35" t="s">
        <v>27</v>
      </c>
      <c r="D35" t="s">
        <v>71</v>
      </c>
    </row>
    <row r="36" spans="1:4" x14ac:dyDescent="0.2">
      <c r="A36" t="s">
        <v>72</v>
      </c>
      <c r="B36">
        <v>2000000</v>
      </c>
      <c r="C36" t="s">
        <v>39</v>
      </c>
      <c r="D36" t="s">
        <v>73</v>
      </c>
    </row>
    <row r="37" spans="1:4" x14ac:dyDescent="0.2">
      <c r="A37" t="s">
        <v>74</v>
      </c>
      <c r="B37">
        <v>15000000</v>
      </c>
      <c r="C37" t="s">
        <v>39</v>
      </c>
      <c r="D37" t="s">
        <v>75</v>
      </c>
    </row>
    <row r="38" spans="1:4" x14ac:dyDescent="0.2">
      <c r="A38" t="s">
        <v>76</v>
      </c>
      <c r="B38">
        <v>8000000</v>
      </c>
      <c r="C38" t="s">
        <v>39</v>
      </c>
      <c r="D38" t="s">
        <v>77</v>
      </c>
    </row>
    <row r="39" spans="1:4" x14ac:dyDescent="0.2">
      <c r="A39" t="s">
        <v>78</v>
      </c>
      <c r="B39">
        <v>0</v>
      </c>
      <c r="C39" t="s">
        <v>39</v>
      </c>
      <c r="D39" t="s">
        <v>79</v>
      </c>
    </row>
    <row r="40" spans="1:4" x14ac:dyDescent="0.2">
      <c r="A40" t="s">
        <v>80</v>
      </c>
      <c r="B40">
        <f>SUM(B36:B39)</f>
        <v>25000000</v>
      </c>
      <c r="C40" t="s">
        <v>39</v>
      </c>
      <c r="D40" t="s">
        <v>81</v>
      </c>
    </row>
    <row r="41" spans="1:4" x14ac:dyDescent="0.2">
      <c r="A41" t="s">
        <v>82</v>
      </c>
      <c r="B41">
        <v>5000000</v>
      </c>
      <c r="C41" t="s">
        <v>39</v>
      </c>
      <c r="D41" t="s">
        <v>83</v>
      </c>
    </row>
    <row r="42" spans="1:4" x14ac:dyDescent="0.2">
      <c r="A42" t="s">
        <v>84</v>
      </c>
      <c r="B42">
        <v>35000000</v>
      </c>
      <c r="C42" t="s">
        <v>39</v>
      </c>
      <c r="D42" t="s">
        <v>85</v>
      </c>
    </row>
    <row r="43" spans="1:4" x14ac:dyDescent="0.2">
      <c r="A43" t="s">
        <v>86</v>
      </c>
      <c r="B43">
        <v>20000000</v>
      </c>
      <c r="C43" t="s">
        <v>39</v>
      </c>
      <c r="D43" t="s">
        <v>87</v>
      </c>
    </row>
    <row r="44" spans="1:4" x14ac:dyDescent="0.2">
      <c r="A44" t="s">
        <v>88</v>
      </c>
      <c r="B44">
        <v>0</v>
      </c>
      <c r="C44" t="s">
        <v>39</v>
      </c>
      <c r="D44" t="s">
        <v>89</v>
      </c>
    </row>
    <row r="45" spans="1:4" x14ac:dyDescent="0.2">
      <c r="A45" t="s">
        <v>90</v>
      </c>
      <c r="B45">
        <f ca="1">SUM(B42:B45)</f>
        <v>0</v>
      </c>
      <c r="C45" t="s">
        <v>39</v>
      </c>
      <c r="D45" t="s">
        <v>91</v>
      </c>
    </row>
    <row r="46" spans="1:4" x14ac:dyDescent="0.2">
      <c r="A46" t="s">
        <v>14</v>
      </c>
      <c r="B46" t="s">
        <v>14</v>
      </c>
      <c r="C46" t="s">
        <v>14</v>
      </c>
      <c r="D46" t="s">
        <v>14</v>
      </c>
    </row>
    <row r="47" spans="1:4" x14ac:dyDescent="0.2">
      <c r="A47" t="s">
        <v>92</v>
      </c>
      <c r="B47" t="s">
        <v>14</v>
      </c>
      <c r="C47" t="s">
        <v>14</v>
      </c>
      <c r="D47" t="s">
        <v>93</v>
      </c>
    </row>
    <row r="48" spans="1:4" x14ac:dyDescent="0.2">
      <c r="A48" t="s">
        <v>94</v>
      </c>
      <c r="B48">
        <v>5000000000</v>
      </c>
      <c r="C48" t="s">
        <v>39</v>
      </c>
      <c r="D48" t="s">
        <v>95</v>
      </c>
    </row>
    <row r="49" spans="1:4" x14ac:dyDescent="0.2">
      <c r="A49" t="s">
        <v>96</v>
      </c>
      <c r="B49">
        <v>7000000000</v>
      </c>
      <c r="C49" t="s">
        <v>39</v>
      </c>
      <c r="D49" t="s">
        <v>97</v>
      </c>
    </row>
  </sheetData>
  <pageMargins left="0.7" right="0.7" top="0.75" bottom="0.75" header="0.3" footer="0.3"/>
  <ignoredErrors>
    <ignoredError sqref="A1:D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6" sqref="C6"/>
    </sheetView>
  </sheetViews>
  <sheetFormatPr baseColWidth="10" defaultRowHeight="16" x14ac:dyDescent="0.2"/>
  <cols>
    <col min="1" max="1" width="38.83203125" customWidth="1"/>
    <col min="2" max="4" width="14.83203125" customWidth="1"/>
  </cols>
  <sheetData>
    <row r="1" spans="1:4" x14ac:dyDescent="0.2">
      <c r="A1" t="s">
        <v>98</v>
      </c>
      <c r="B1" t="s">
        <v>99</v>
      </c>
      <c r="C1" t="s">
        <v>100</v>
      </c>
      <c r="D1" t="s">
        <v>101</v>
      </c>
    </row>
    <row r="2" spans="1:4" x14ac:dyDescent="0.2">
      <c r="A2" t="s">
        <v>102</v>
      </c>
      <c r="B2">
        <f>Допущения!$B$3*Допущения!$B$9*Допущения!$B$10*Допущения!$B$8*Допущения!$B$2</f>
        <v>1000000</v>
      </c>
      <c r="C2">
        <f>Допущения!$B$4*Допущения!$B$9*Допущения!$B$10*Допущения!$B$8*Допущения!$B$2</f>
        <v>3500000</v>
      </c>
      <c r="D2">
        <f>Допущения!$B$5*Допущения!$B$9*Допущения!$B$10*Допущения!$B$8*Допущения!$B$2</f>
        <v>5000000</v>
      </c>
    </row>
    <row r="3" spans="1:4" x14ac:dyDescent="0.2">
      <c r="A3" t="s">
        <v>103</v>
      </c>
      <c r="B3">
        <f>ROUND(Допущения!$B$3*Допущения!$B$14,0)*Допущения!$B$16*Допущения!$B$2*Допущения!$B$15</f>
        <v>5500000</v>
      </c>
      <c r="C3">
        <f>ROUND(Допущения!$B$4*Допущения!$B$14,0)*Допущения!$B$16*Допущения!$B$2*Допущения!$B$15</f>
        <v>19250000</v>
      </c>
      <c r="D3">
        <f>ROUND(Допущения!$B$5*Допущения!$B$14,0)*Допущения!$B$16*Допущения!$B$2*Допущения!$B$15</f>
        <v>27500000</v>
      </c>
    </row>
    <row r="4" spans="1:4" x14ac:dyDescent="0.2">
      <c r="A4" t="s">
        <v>104</v>
      </c>
      <c r="B4">
        <f>ROUND(Допущения!$B$3*Допущения!$B$14,0)*Допущения!$B$18*Допущения!$B$2</f>
        <v>2000000</v>
      </c>
      <c r="C4">
        <f>ROUND(Допущения!$B$4*Допущения!$B$14,0)*Допущения!$B$18*Допущения!$B$2</f>
        <v>7000000</v>
      </c>
      <c r="D4">
        <f>ROUND(Допущения!$B$5*Допущения!$B$14,0)*Допущения!$B$18*Допущения!$B$2</f>
        <v>10000000</v>
      </c>
    </row>
    <row r="5" spans="1:4" x14ac:dyDescent="0.2">
      <c r="A5" t="s">
        <v>105</v>
      </c>
      <c r="B5">
        <f>((Допущения!$B$3*Допущения!$B$23*12)/1000)*Допущения!$B$22*Допущения!$B$2</f>
        <v>48000000</v>
      </c>
      <c r="C5">
        <f>((Допущения!$B$4*Допущения!$B$23*12)/1000)*Допущения!$B$22*Допущения!$B$2</f>
        <v>168000000</v>
      </c>
      <c r="D5">
        <f>((Допущения!$B$5*Допущения!$B$23*12)/1000)*Допущения!$B$22*Допущения!$B$2</f>
        <v>240000000</v>
      </c>
    </row>
    <row r="6" spans="1:4" x14ac:dyDescent="0.2">
      <c r="A6" t="s">
        <v>106</v>
      </c>
      <c r="B6">
        <f>SUM(B2:B5)</f>
        <v>56500000</v>
      </c>
      <c r="C6">
        <f>SUM(C2:C5)</f>
        <v>197750000</v>
      </c>
      <c r="D6">
        <f>SUM(D2:D5)</f>
        <v>282500000</v>
      </c>
    </row>
    <row r="7" spans="1:4" x14ac:dyDescent="0.2">
      <c r="A7" t="s">
        <v>14</v>
      </c>
      <c r="B7" t="s">
        <v>14</v>
      </c>
      <c r="C7" t="s">
        <v>14</v>
      </c>
      <c r="D7" t="s">
        <v>14</v>
      </c>
    </row>
    <row r="8" spans="1:4" x14ac:dyDescent="0.2">
      <c r="A8" t="s">
        <v>107</v>
      </c>
      <c r="B8">
        <f>ROUND(Допущения!$B$3*Допущения!$B$14,0)</f>
        <v>200</v>
      </c>
      <c r="C8">
        <f>ROUND(Допущения!$B$4*Допущения!$B$14,0)</f>
        <v>700</v>
      </c>
      <c r="D8">
        <f>ROUND(Допущения!$B$5*Допущения!$B$14,0)</f>
        <v>1000</v>
      </c>
    </row>
  </sheetData>
  <pageMargins left="0.7" right="0.7" top="0.75" bottom="0.75" header="0.3" footer="0.3"/>
  <ignoredErrors>
    <ignoredError sqref="A1:D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baseColWidth="10" defaultRowHeight="16" x14ac:dyDescent="0.2"/>
  <cols>
    <col min="1" max="1" width="34.83203125" customWidth="1"/>
    <col min="2" max="4" width="14.83203125" customWidth="1"/>
  </cols>
  <sheetData>
    <row r="1" spans="1:4" x14ac:dyDescent="0.2">
      <c r="A1" t="s">
        <v>108</v>
      </c>
      <c r="B1" t="s">
        <v>99</v>
      </c>
      <c r="C1" t="s">
        <v>100</v>
      </c>
      <c r="D1" t="s">
        <v>101</v>
      </c>
    </row>
    <row r="2" spans="1:4" x14ac:dyDescent="0.2">
      <c r="A2" t="s">
        <v>109</v>
      </c>
      <c r="B2">
        <f>Допущения!$B$30</f>
        <v>650000</v>
      </c>
      <c r="C2" t="s">
        <v>14</v>
      </c>
      <c r="D2" t="s">
        <v>14</v>
      </c>
    </row>
    <row r="3" spans="1:4" x14ac:dyDescent="0.2">
      <c r="A3" t="s">
        <v>110</v>
      </c>
      <c r="B3">
        <f>Допущения!$B$31</f>
        <v>150000</v>
      </c>
      <c r="C3" t="s">
        <v>14</v>
      </c>
      <c r="D3" t="s">
        <v>14</v>
      </c>
    </row>
    <row r="4" spans="1:4" x14ac:dyDescent="0.2">
      <c r="A4" t="s">
        <v>111</v>
      </c>
      <c r="B4">
        <f>Допущения!$B$32</f>
        <v>100000</v>
      </c>
      <c r="C4" t="s">
        <v>14</v>
      </c>
      <c r="D4" t="s">
        <v>14</v>
      </c>
    </row>
    <row r="5" spans="1:4" x14ac:dyDescent="0.2">
      <c r="A5" t="s">
        <v>67</v>
      </c>
      <c r="B5">
        <f>Допущения!$B$33</f>
        <v>50000</v>
      </c>
      <c r="C5" t="s">
        <v>14</v>
      </c>
      <c r="D5" t="s">
        <v>14</v>
      </c>
    </row>
    <row r="6" spans="1:4" x14ac:dyDescent="0.2">
      <c r="A6" t="s">
        <v>69</v>
      </c>
      <c r="B6">
        <f>Допущения!$B$34</f>
        <v>50000</v>
      </c>
      <c r="C6" t="s">
        <v>14</v>
      </c>
      <c r="D6" t="s">
        <v>14</v>
      </c>
    </row>
    <row r="7" spans="1:4" x14ac:dyDescent="0.2">
      <c r="A7" t="s">
        <v>112</v>
      </c>
      <c r="B7">
        <f>Допущения!$B$35</f>
        <v>1000000</v>
      </c>
      <c r="C7" t="s">
        <v>14</v>
      </c>
      <c r="D7" t="s">
        <v>14</v>
      </c>
    </row>
    <row r="8" spans="1:4" x14ac:dyDescent="0.2">
      <c r="A8" t="s">
        <v>14</v>
      </c>
      <c r="B8" t="s">
        <v>14</v>
      </c>
      <c r="C8" t="s">
        <v>14</v>
      </c>
      <c r="D8" t="s">
        <v>14</v>
      </c>
    </row>
    <row r="9" spans="1:4" x14ac:dyDescent="0.2">
      <c r="A9" t="s">
        <v>113</v>
      </c>
      <c r="B9">
        <v>0</v>
      </c>
      <c r="C9">
        <f>Допущения!$B$36</f>
        <v>2000000</v>
      </c>
      <c r="D9">
        <f>Допущения!$B$41</f>
        <v>5000000</v>
      </c>
    </row>
    <row r="10" spans="1:4" x14ac:dyDescent="0.2">
      <c r="A10" t="s">
        <v>114</v>
      </c>
      <c r="B10">
        <v>0</v>
      </c>
      <c r="C10">
        <f>Допущения!$B$37</f>
        <v>15000000</v>
      </c>
      <c r="D10">
        <f>Допущения!$B$42</f>
        <v>35000000</v>
      </c>
    </row>
    <row r="11" spans="1:4" x14ac:dyDescent="0.2">
      <c r="A11" t="s">
        <v>115</v>
      </c>
      <c r="B11">
        <v>0</v>
      </c>
      <c r="C11">
        <f>Допущения!$B$38</f>
        <v>8000000</v>
      </c>
      <c r="D11">
        <f>Допущения!$B$43</f>
        <v>20000000</v>
      </c>
    </row>
    <row r="12" spans="1:4" x14ac:dyDescent="0.2">
      <c r="A12" t="s">
        <v>116</v>
      </c>
      <c r="B12">
        <v>0</v>
      </c>
      <c r="C12">
        <f>Допущения!$B$39</f>
        <v>0</v>
      </c>
      <c r="D12">
        <f>Допущения!$B$44</f>
        <v>0</v>
      </c>
    </row>
    <row r="13" spans="1:4" x14ac:dyDescent="0.2">
      <c r="A13" t="s">
        <v>117</v>
      </c>
      <c r="B13">
        <f>Допущения!$B$35</f>
        <v>1000000</v>
      </c>
      <c r="C13">
        <f>Допущения!$B$40</f>
        <v>25000000</v>
      </c>
      <c r="D13">
        <f ca="1">Допущения!$B$45</f>
        <v>0</v>
      </c>
    </row>
  </sheetData>
  <pageMargins left="0.7" right="0.7" top="0.75" bottom="0.75" header="0.3" footer="0.3"/>
  <ignoredErrors>
    <ignoredError sqref="A1:D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C12" sqref="C12"/>
    </sheetView>
  </sheetViews>
  <sheetFormatPr baseColWidth="10" defaultRowHeight="16" x14ac:dyDescent="0.2"/>
  <cols>
    <col min="1" max="1" width="23.83203125" customWidth="1"/>
    <col min="2" max="4" width="14.83203125" customWidth="1"/>
  </cols>
  <sheetData>
    <row r="1" spans="1:4" x14ac:dyDescent="0.2">
      <c r="A1" t="s">
        <v>14</v>
      </c>
      <c r="B1" t="s">
        <v>118</v>
      </c>
      <c r="C1" t="s">
        <v>119</v>
      </c>
      <c r="D1" t="s">
        <v>120</v>
      </c>
    </row>
    <row r="2" spans="1:4" x14ac:dyDescent="0.2">
      <c r="A2" t="s">
        <v>121</v>
      </c>
      <c r="B2">
        <f>Выручка!$B$6</f>
        <v>56500000</v>
      </c>
      <c r="C2">
        <f>Выручка!$C$6</f>
        <v>197750000</v>
      </c>
      <c r="D2">
        <f>Выручка!$D$6</f>
        <v>282500000</v>
      </c>
    </row>
    <row r="3" spans="1:4" x14ac:dyDescent="0.2">
      <c r="A3" t="s">
        <v>122</v>
      </c>
      <c r="B3">
        <f>Расходы!$B$13</f>
        <v>1000000</v>
      </c>
      <c r="C3">
        <f>Расходы!$C$13</f>
        <v>25000000</v>
      </c>
      <c r="D3">
        <f ca="1">Расходы!$D$13</f>
        <v>0</v>
      </c>
    </row>
    <row r="4" spans="1:4" x14ac:dyDescent="0.2">
      <c r="A4" t="s">
        <v>123</v>
      </c>
      <c r="B4">
        <f>B2-B3</f>
        <v>55500000</v>
      </c>
      <c r="C4">
        <f>C2-C3</f>
        <v>172750000</v>
      </c>
      <c r="D4">
        <f ca="1">D2-D3</f>
        <v>0</v>
      </c>
    </row>
    <row r="5" spans="1:4" x14ac:dyDescent="0.2">
      <c r="A5" t="s">
        <v>14</v>
      </c>
    </row>
    <row r="6" spans="1:4" x14ac:dyDescent="0.2">
      <c r="A6" t="s">
        <v>124</v>
      </c>
      <c r="B6">
        <f>Допущения!$B$3</f>
        <v>100000</v>
      </c>
      <c r="C6">
        <f>Допущения!$B$4</f>
        <v>350000</v>
      </c>
      <c r="D6">
        <f>Допущения!$B$5</f>
        <v>500000</v>
      </c>
    </row>
    <row r="7" spans="1:4" x14ac:dyDescent="0.2">
      <c r="A7" t="s">
        <v>125</v>
      </c>
      <c r="B7">
        <f>B2/B6</f>
        <v>565</v>
      </c>
      <c r="C7">
        <f>C2/C6</f>
        <v>565</v>
      </c>
      <c r="D7">
        <f>D2/D6</f>
        <v>565</v>
      </c>
    </row>
  </sheetData>
  <pageMargins left="0.7" right="0.7" top="0.75" bottom="0.75" header="0.3" footer="0.3"/>
  <ignoredErrors>
    <ignoredError sqref="A1:D6 A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baseColWidth="10" defaultRowHeight="16" x14ac:dyDescent="0.2"/>
  <cols>
    <col min="1" max="1" width="38.83203125" customWidth="1"/>
    <col min="2" max="4" width="14.83203125" customWidth="1"/>
    <col min="5" max="5" width="23.83203125" customWidth="1"/>
  </cols>
  <sheetData>
    <row r="1" spans="1:5" x14ac:dyDescent="0.2">
      <c r="A1" t="s">
        <v>126</v>
      </c>
      <c r="B1" t="s">
        <v>118</v>
      </c>
      <c r="C1" t="s">
        <v>119</v>
      </c>
      <c r="D1" t="s">
        <v>120</v>
      </c>
      <c r="E1" t="s">
        <v>127</v>
      </c>
    </row>
    <row r="2" spans="1:5" x14ac:dyDescent="0.2">
      <c r="A2" t="s">
        <v>128</v>
      </c>
      <c r="B2">
        <f>'P&amp;L'!$B$6</f>
        <v>100000</v>
      </c>
      <c r="C2">
        <f>'P&amp;L'!$C$6</f>
        <v>350000</v>
      </c>
      <c r="D2">
        <f>'P&amp;L'!$D$6</f>
        <v>500000</v>
      </c>
      <c r="E2" t="s">
        <v>129</v>
      </c>
    </row>
    <row r="3" spans="1:5" x14ac:dyDescent="0.2">
      <c r="A3" t="s">
        <v>130</v>
      </c>
      <c r="B3">
        <f>Допущения!$B$26</f>
        <v>35</v>
      </c>
      <c r="C3">
        <f>Допущения!$B$26</f>
        <v>35</v>
      </c>
      <c r="D3">
        <f>Допущения!$B$26</f>
        <v>35</v>
      </c>
      <c r="E3" t="s">
        <v>131</v>
      </c>
    </row>
    <row r="4" spans="1:5" x14ac:dyDescent="0.2">
      <c r="A4" t="s">
        <v>132</v>
      </c>
      <c r="B4">
        <f>Допущения!$B$27</f>
        <v>179.7</v>
      </c>
      <c r="C4">
        <f>Допущения!$B$27</f>
        <v>179.7</v>
      </c>
      <c r="D4">
        <f>Допущения!$B$27</f>
        <v>179.7</v>
      </c>
      <c r="E4" t="s">
        <v>131</v>
      </c>
    </row>
    <row r="5" spans="1:5" x14ac:dyDescent="0.2">
      <c r="A5" t="s">
        <v>133</v>
      </c>
      <c r="B5">
        <f>C3/C2</f>
        <v>1E-4</v>
      </c>
      <c r="C5">
        <f>C3/C2</f>
        <v>1E-4</v>
      </c>
      <c r="D5">
        <f>C3/C2</f>
        <v>1E-4</v>
      </c>
      <c r="E5" t="s">
        <v>134</v>
      </c>
    </row>
    <row r="6" spans="1:5" x14ac:dyDescent="0.2">
      <c r="A6" t="s">
        <v>14</v>
      </c>
    </row>
    <row r="7" spans="1:5" x14ac:dyDescent="0.2">
      <c r="A7" t="s">
        <v>135</v>
      </c>
      <c r="B7">
        <f>Выручка!$B$8</f>
        <v>200</v>
      </c>
      <c r="C7">
        <f>Выручка!$C$8</f>
        <v>700</v>
      </c>
      <c r="D7">
        <f>Выручка!$D$8</f>
        <v>1000</v>
      </c>
      <c r="E7" t="s">
        <v>136</v>
      </c>
    </row>
    <row r="8" spans="1:5" x14ac:dyDescent="0.2">
      <c r="A8" t="s">
        <v>137</v>
      </c>
      <c r="B8">
        <f>Выручка!$B$3+Выручка!$B$4</f>
        <v>7500000</v>
      </c>
      <c r="C8">
        <f>Выручка!$C$3+Выручка!$C$4</f>
        <v>26250000</v>
      </c>
      <c r="D8">
        <f>Выручка!$D$3+Выручка!$D$4</f>
        <v>37500000</v>
      </c>
      <c r="E8" t="s">
        <v>14</v>
      </c>
    </row>
  </sheetData>
  <pageMargins left="0.7" right="0.7" top="0.75" bottom="0.75" header="0.3" footer="0.3"/>
  <ignoredErrors>
    <ignoredError sqref="A1:E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baseColWidth="10" defaultRowHeight="16" x14ac:dyDescent="0.2"/>
  <cols>
    <col min="1" max="1" width="25.83203125" customWidth="1"/>
    <col min="2" max="2" width="17.83203125" customWidth="1"/>
    <col min="3" max="3" width="50.83203125" customWidth="1"/>
  </cols>
  <sheetData>
    <row r="1" spans="1:3" x14ac:dyDescent="0.2">
      <c r="A1" t="s">
        <v>138</v>
      </c>
      <c r="B1" t="s">
        <v>139</v>
      </c>
      <c r="C1" t="s">
        <v>140</v>
      </c>
    </row>
    <row r="2" spans="1:3" x14ac:dyDescent="0.2">
      <c r="A2" t="s">
        <v>141</v>
      </c>
      <c r="B2" t="s">
        <v>142</v>
      </c>
      <c r="C2" t="s">
        <v>143</v>
      </c>
    </row>
    <row r="3" spans="1:3" x14ac:dyDescent="0.2">
      <c r="A3" t="s">
        <v>144</v>
      </c>
      <c r="B3" t="s">
        <v>118</v>
      </c>
      <c r="C3" t="s">
        <v>145</v>
      </c>
    </row>
    <row r="4" spans="1:3" x14ac:dyDescent="0.2">
      <c r="A4" t="s">
        <v>146</v>
      </c>
      <c r="B4" t="s">
        <v>147</v>
      </c>
      <c r="C4" t="s">
        <v>148</v>
      </c>
    </row>
    <row r="5" spans="1:3" x14ac:dyDescent="0.2">
      <c r="A5" t="s">
        <v>14</v>
      </c>
    </row>
    <row r="6" spans="1:3" x14ac:dyDescent="0.2">
      <c r="A6" t="s">
        <v>149</v>
      </c>
      <c r="B6" t="s">
        <v>14</v>
      </c>
      <c r="C6" t="s">
        <v>150</v>
      </c>
    </row>
  </sheetData>
  <pageMargins left="0.7" right="0.7" top="0.75" bottom="0.75" header="0.3" footer="0.3"/>
  <ignoredErrors>
    <ignoredError sqref="A1:C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tabSelected="1" workbookViewId="0"/>
  </sheetViews>
  <sheetFormatPr baseColWidth="10" defaultRowHeight="16" x14ac:dyDescent="0.2"/>
  <cols>
    <col min="1" max="1" width="46.83203125" customWidth="1"/>
  </cols>
  <sheetData>
    <row r="1" spans="1:2" x14ac:dyDescent="0.2">
      <c r="A1" t="s">
        <v>151</v>
      </c>
    </row>
    <row r="2" spans="1:2" x14ac:dyDescent="0.2">
      <c r="A2" t="s">
        <v>14</v>
      </c>
    </row>
    <row r="3" spans="1:2" x14ac:dyDescent="0.2">
      <c r="A3" t="s">
        <v>152</v>
      </c>
      <c r="B3">
        <f>Допущения!$B$48</f>
        <v>5000000000</v>
      </c>
    </row>
    <row r="4" spans="1:2" x14ac:dyDescent="0.2">
      <c r="A4" t="s">
        <v>153</v>
      </c>
      <c r="B4">
        <f>Допущения!$B$49</f>
        <v>7000000000</v>
      </c>
    </row>
    <row r="5" spans="1:2" x14ac:dyDescent="0.2">
      <c r="A5" t="s">
        <v>14</v>
      </c>
    </row>
    <row r="6" spans="1:2" x14ac:dyDescent="0.2">
      <c r="A6" t="s">
        <v>154</v>
      </c>
      <c r="B6">
        <f>'P&amp;L'!$D$6</f>
        <v>500000</v>
      </c>
    </row>
    <row r="7" spans="1:2" x14ac:dyDescent="0.2">
      <c r="A7" t="s">
        <v>155</v>
      </c>
      <c r="B7">
        <f>ROUND(Допущения!$B$48/'P&amp;L'!$D$6,0)</f>
        <v>10000</v>
      </c>
    </row>
    <row r="8" spans="1:2" x14ac:dyDescent="0.2">
      <c r="A8" t="s">
        <v>156</v>
      </c>
      <c r="B8">
        <f>ROUND(Допущения!$B$49/'P&amp;L'!$D$6,0)</f>
        <v>14000</v>
      </c>
    </row>
    <row r="9" spans="1:2" x14ac:dyDescent="0.2">
      <c r="A9" t="s">
        <v>14</v>
      </c>
    </row>
    <row r="10" spans="1:2" x14ac:dyDescent="0.2">
      <c r="A10" t="s">
        <v>157</v>
      </c>
    </row>
    <row r="11" spans="1:2" x14ac:dyDescent="0.2">
      <c r="A11" t="s">
        <v>158</v>
      </c>
      <c r="B11">
        <f>Допущения!$B$48/Допущения!$B$5</f>
        <v>10000</v>
      </c>
    </row>
    <row r="12" spans="1:2" x14ac:dyDescent="0.2">
      <c r="A12" t="s">
        <v>159</v>
      </c>
      <c r="B12">
        <f>Допущения!$B$49/Допущения!$B$5</f>
        <v>14000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Допущения</vt:lpstr>
      <vt:lpstr>Выручка</vt:lpstr>
      <vt:lpstr>Расходы</vt:lpstr>
      <vt:lpstr>P&amp;L</vt:lpstr>
      <vt:lpstr>Unit-экономика</vt:lpstr>
      <vt:lpstr>Этапы</vt:lpstr>
      <vt:lpstr>Цели 5-7 млрд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Малинина Варвара Сергеевна</cp:lastModifiedBy>
  <dcterms:modified xsi:type="dcterms:W3CDTF">2026-03-03T21:01:43Z</dcterms:modified>
</cp:coreProperties>
</file>